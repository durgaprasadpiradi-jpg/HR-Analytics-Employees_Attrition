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692e0a5c70013d/Documents/"/>
    </mc:Choice>
  </mc:AlternateContent>
  <xr:revisionPtr revIDLastSave="1" documentId="8_{A12E1059-23C4-4431-9F15-13B5859FF5E3}" xr6:coauthVersionLast="47" xr6:coauthVersionMax="47" xr10:uidLastSave="{350CE758-9AB2-4A54-958A-8BCDCFDDD034}"/>
  <bookViews>
    <workbookView xWindow="-108" yWindow="-108" windowWidth="23256" windowHeight="12456" firstSheet="1" activeTab="1" xr2:uid="{CBC5E9DE-80B1-4835-85D6-DDB3A5CE31F1}"/>
  </bookViews>
  <sheets>
    <sheet name="Sheet2" sheetId="3" r:id="rId1"/>
    <sheet name="Formula_Practice" sheetId="4" r:id="rId2"/>
    <sheet name="HR_Employee_Attrition" sheetId="2" r:id="rId3"/>
    <sheet name="Sheet1" sheetId="1" r:id="rId4"/>
  </sheets>
  <definedNames>
    <definedName name="ExternalData_1" localSheetId="2" hidden="1">HR_Employee_Attrition!$A$1:$AI$1471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4" l="1"/>
  <c r="B14" i="4"/>
  <c r="C14" i="4"/>
  <c r="D14" i="4" s="1"/>
  <c r="B15" i="4"/>
  <c r="C15" i="4"/>
  <c r="B16" i="4"/>
  <c r="C16" i="4"/>
  <c r="D16" i="4" s="1"/>
  <c r="B11" i="4"/>
  <c r="B9" i="4"/>
  <c r="B8" i="4"/>
  <c r="B7" i="4"/>
  <c r="B6" i="4"/>
  <c r="B5" i="4"/>
  <c r="B3" i="4"/>
  <c r="B4" i="4"/>
  <c r="B2" i="4"/>
  <c r="F6" i="3"/>
  <c r="F7" i="3"/>
  <c r="F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5C83AE-3BEB-44C0-83C2-13F753AE43A1}" keepAlive="1" name="Query - HR_Employee_Attrition" description="Connection to the 'HR_Employee_Attrition' query in the workbook." type="5" refreshedVersion="8" background="1" saveData="1">
    <dbPr connection="Provider=Microsoft.Mashup.OleDb.1;Data Source=$Workbook$;Location=HR_Employee_Attrition;Extended Properties=&quot;&quot;" command="SELECT * FROM [HR_Employee_Attrition]"/>
  </connection>
</connections>
</file>

<file path=xl/sharedStrings.xml><?xml version="1.0" encoding="utf-8"?>
<sst xmlns="http://schemas.openxmlformats.org/spreadsheetml/2006/main" count="13295" uniqueCount="84">
  <si>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</si>
  <si>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</si>
  <si>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</si>
  <si>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</si>
  <si>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</si>
  <si>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</si>
  <si>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</si>
  <si>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</si>
  <si>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</si>
  <si>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</si>
  <si>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</si>
  <si>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</si>
  <si>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</si>
  <si>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</si>
  <si>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</si>
  <si>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</si>
  <si>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</si>
  <si>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</si>
  <si>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</si>
  <si>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</si>
  <si>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</si>
  <si>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</si>
  <si>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</si>
  <si>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</si>
  <si>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</si>
  <si>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</si>
  <si>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</si>
  <si>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</si>
  <si>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</si>
  <si>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</si>
  <si>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</si>
  <si>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</si>
  <si>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</si>
  <si>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</si>
  <si>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</si>
  <si>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</si>
  <si>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</si>
  <si>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</si>
  <si>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</si>
  <si>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</si>
  <si>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</si>
  <si>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</si>
  <si>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</si>
  <si>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</si>
  <si>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</si>
  <si>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</si>
  <si>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</si>
  <si>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</si>
  <si>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</si>
  <si>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</si>
  <si>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</si>
  <si>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</si>
  <si>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</si>
  <si>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</si>
  <si>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</si>
  <si>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</si>
  <si>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</si>
  <si>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</si>
  <si>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</si>
  <si>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</si>
  <si>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</si>
  <si>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</si>
  <si>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</si>
  <si>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</si>
  <si>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</si>
  <si>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Column Labels</t>
  </si>
  <si>
    <t>Attrition Rate Formula</t>
  </si>
  <si>
    <t>Result</t>
  </si>
  <si>
    <t>Employees Left</t>
  </si>
  <si>
    <t>Formula Name</t>
  </si>
  <si>
    <t>Total Attrition</t>
  </si>
  <si>
    <t>R&amp;D Attrition</t>
  </si>
  <si>
    <t>Sales Attrition</t>
  </si>
  <si>
    <t>R&amp;D Total Monthly Income</t>
  </si>
  <si>
    <t>R&amp;D Average Monthly Income</t>
  </si>
  <si>
    <t>Overtime Status</t>
  </si>
  <si>
    <t>IFERROR Practice</t>
  </si>
  <si>
    <t>Sales Department - No Overtime</t>
  </si>
  <si>
    <t>Employee Number</t>
  </si>
  <si>
    <t>Department Lookup</t>
  </si>
  <si>
    <t>Total Employees</t>
  </si>
  <si>
    <t>Attrition Rate</t>
  </si>
  <si>
    <t xml:space="preserve"> Research &amp; Development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</si>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</sst>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EDEDE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2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</a:t>
            </a:r>
            <a:r>
              <a:rPr lang="en-US" baseline="0"/>
              <a:t>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Formula_Practice!$A$14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Formula_Practice!$B$13:$D$13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Formula_Practice!$B$14:$D$14</c:f>
              <c:numCache>
                <c:formatCode>General</c:formatCode>
                <c:ptCount val="3"/>
                <c:pt idx="0">
                  <c:v>63</c:v>
                </c:pt>
                <c:pt idx="1">
                  <c:v>12</c:v>
                </c:pt>
                <c:pt idx="2" formatCode="0%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1-4F70-B64B-79B90976AE5E}"/>
            </c:ext>
          </c:extLst>
        </c:ser>
        <c:ser>
          <c:idx val="1"/>
          <c:order val="1"/>
          <c:tx>
            <c:strRef>
              <c:f>Formula_Practice!$A$15</c:f>
              <c:strCache>
                <c:ptCount val="1"/>
                <c:pt idx="0">
                  <c:v> Research &amp; 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Formula_Practice!$B$13:$D$13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Formula_Practice!$B$15:$D$15</c:f>
              <c:numCache>
                <c:formatCode>General</c:formatCode>
                <c:ptCount val="3"/>
                <c:pt idx="0">
                  <c:v>961</c:v>
                </c:pt>
                <c:pt idx="1">
                  <c:v>133</c:v>
                </c:pt>
                <c:pt idx="2" formatCode="0%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1-4F70-B64B-79B90976AE5E}"/>
            </c:ext>
          </c:extLst>
        </c:ser>
        <c:ser>
          <c:idx val="2"/>
          <c:order val="2"/>
          <c:tx>
            <c:strRef>
              <c:f>Formula_Practice!$A$16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Formula_Practice!$B$13:$D$13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Formula_Practice!$B$16:$D$16</c:f>
              <c:numCache>
                <c:formatCode>General</c:formatCode>
                <c:ptCount val="3"/>
                <c:pt idx="0">
                  <c:v>446</c:v>
                </c:pt>
                <c:pt idx="1">
                  <c:v>92</c:v>
                </c:pt>
                <c:pt idx="2" formatCode="0%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1-4F70-B64B-79B90976A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414896"/>
        <c:axId val="1919394960"/>
      </c:barChart>
      <c:catAx>
        <c:axId val="148541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94960"/>
        <c:crosses val="autoZero"/>
        <c:auto val="1"/>
        <c:lblAlgn val="ctr"/>
        <c:lblOffset val="100"/>
        <c:noMultiLvlLbl val="0"/>
      </c:catAx>
      <c:valAx>
        <c:axId val="19193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1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204788</xdr:colOff>
      <xdr:row>9</xdr:row>
      <xdr:rowOff>47625</xdr:rowOff>
    </xdr:from>
    <xdr:to>
      <xdr:col>5</xdr:col>
      <xdr:colOff>71438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91607-8BB7-9D84-F1D6-7000216F8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radi Durga Prasad" refreshedDate="46313.681030555555" createdVersion="8" refreshedVersion="8" minRefreshableVersion="3" recordCount="1470" xr:uid="{4665FC7F-EF08-4677-83A7-88B550342975}">
  <cacheSource type="worksheet">
    <worksheetSource name="HR_Employee_Attritio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FD344-DF68-45C8-94BD-11445482504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BED74D-49F0-4176-9664-72165CB00362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B3E4A-D5BD-4520-B557-998D9B2DC386}" name="HR_Employee_Attrition" displayName="HR_Employee_Attrition" ref="A1:AI1471" tableType="queryTable" totalsRowShown="0">
  <autoFilter ref="A1:AI1471" xr:uid="{014B3E4A-D5BD-4520-B557-998D9B2DC386}"/>
  <tableColumns count="35">
    <tableColumn id="1" xr3:uid="{BC0FC340-39AF-4FD2-AEC0-56F59C665E9D}" uniqueName="1" name="Age" queryTableFieldId="1"/>
    <tableColumn id="2" xr3:uid="{6C9BA349-C751-437D-BE85-0E03C5032180}" uniqueName="2" name="Attrition" queryTableFieldId="2" dataDxfId="8"/>
    <tableColumn id="3" xr3:uid="{BA5FD9E4-7A5A-438C-BA70-08F96C7FA2F4}" uniqueName="3" name="BusinessTravel" queryTableFieldId="3" dataDxfId="7"/>
    <tableColumn id="4" xr3:uid="{9FA6F988-CE70-4414-8CD8-5FE8A2D9CB11}" uniqueName="4" name="DailyRate" queryTableFieldId="4"/>
    <tableColumn id="5" xr3:uid="{DBD40149-9E2C-405B-BBF7-E5CAA96CE0F9}" uniqueName="5" name="Department" queryTableFieldId="5" dataDxfId="6"/>
    <tableColumn id="6" xr3:uid="{42F9758F-12AC-4443-B119-80D69F35F2B8}" uniqueName="6" name="DistanceFromHome" queryTableFieldId="6"/>
    <tableColumn id="7" xr3:uid="{38304B66-B8DA-423A-8ACC-00DF95AB6C4D}" uniqueName="7" name="Education" queryTableFieldId="7"/>
    <tableColumn id="8" xr3:uid="{615DDE3C-CEC0-437D-9EB7-A0090C5CB78E}" uniqueName="8" name="EducationField" queryTableFieldId="8" dataDxfId="5"/>
    <tableColumn id="9" xr3:uid="{5B79E5C3-F2EB-4912-9E24-8C4D124C61D0}" uniqueName="9" name="EmployeeCount" queryTableFieldId="9"/>
    <tableColumn id="10" xr3:uid="{D5C2A2EF-FEFE-41DB-930B-95972BC48540}" uniqueName="10" name="EmployeeNumber" queryTableFieldId="10"/>
    <tableColumn id="11" xr3:uid="{2F65F959-00FA-4941-8ACE-0A086C5DC0AD}" uniqueName="11" name="EnvironmentSatisfaction" queryTableFieldId="11"/>
    <tableColumn id="12" xr3:uid="{F71B19DF-9E77-4E93-A6E2-B7033D1FF58D}" uniqueName="12" name="Gender" queryTableFieldId="12" dataDxfId="4"/>
    <tableColumn id="13" xr3:uid="{A334A386-7069-4CD7-A0BE-53C284305439}" uniqueName="13" name="HourlyRate" queryTableFieldId="13"/>
    <tableColumn id="14" xr3:uid="{5D4DD2C1-B1C9-468C-A01E-E99C54A89DD7}" uniqueName="14" name="JobInvolvement" queryTableFieldId="14"/>
    <tableColumn id="15" xr3:uid="{C0CEFB81-DA34-4932-8E60-23BA6FF733C4}" uniqueName="15" name="JobLevel" queryTableFieldId="15"/>
    <tableColumn id="16" xr3:uid="{7AB3A77C-3550-4131-9038-5DF87DB21B63}" uniqueName="16" name="JobRole" queryTableFieldId="16" dataDxfId="3"/>
    <tableColumn id="17" xr3:uid="{9E8C7787-21B9-45C8-AB44-15ED36596011}" uniqueName="17" name="JobSatisfaction" queryTableFieldId="17"/>
    <tableColumn id="18" xr3:uid="{221E3633-DCF1-418D-B465-341B4DE09856}" uniqueName="18" name="MaritalStatus" queryTableFieldId="18" dataDxfId="2"/>
    <tableColumn id="19" xr3:uid="{08A35C70-A629-45B1-918A-BDED9096E6B5}" uniqueName="19" name="MonthlyIncome" queryTableFieldId="19"/>
    <tableColumn id="20" xr3:uid="{5FFC1885-86BD-4F27-9BED-405493E42143}" uniqueName="20" name="MonthlyRate" queryTableFieldId="20"/>
    <tableColumn id="21" xr3:uid="{81943D66-0B9C-495F-AB1A-7F671DF417E0}" uniqueName="21" name="NumCompaniesWorked" queryTableFieldId="21"/>
    <tableColumn id="22" xr3:uid="{CBE7787F-5674-4D52-B834-9624B02395B6}" uniqueName="22" name="Over18" queryTableFieldId="22" dataDxfId="1"/>
    <tableColumn id="23" xr3:uid="{51C35AC9-9798-43D2-8A86-5D7CD1F2F272}" uniqueName="23" name="OverTime" queryTableFieldId="23" dataDxfId="0"/>
    <tableColumn id="24" xr3:uid="{6BA46C51-8D7F-4C54-A8A8-8F5E42B1382C}" uniqueName="24" name="PercentSalaryHike" queryTableFieldId="24"/>
    <tableColumn id="25" xr3:uid="{86C69ED4-4120-4CA6-9078-6DC858E59284}" uniqueName="25" name="PerformanceRating" queryTableFieldId="25"/>
    <tableColumn id="26" xr3:uid="{590E7874-3036-459F-979F-68E11822CE43}" uniqueName="26" name="RelationshipSatisfaction" queryTableFieldId="26"/>
    <tableColumn id="27" xr3:uid="{29B282D3-71AA-4E96-96DA-722DCCC7F33F}" uniqueName="27" name="StandardHours" queryTableFieldId="27"/>
    <tableColumn id="28" xr3:uid="{F0F30DFA-CE6D-4EED-A81E-25C3B2E4FB12}" uniqueName="28" name="StockOptionLevel" queryTableFieldId="28"/>
    <tableColumn id="29" xr3:uid="{9D75437D-DACD-4EA2-9686-A81558A99B64}" uniqueName="29" name="TotalWorkingYears" queryTableFieldId="29"/>
    <tableColumn id="30" xr3:uid="{2E57E357-DE66-4B40-ABDF-7C1101606225}" uniqueName="30" name="TrainingTimesLastYear" queryTableFieldId="30"/>
    <tableColumn id="31" xr3:uid="{5028221E-CC4C-4163-8E5A-85ACF19F0B3D}" uniqueName="31" name="WorkLifeBalance" queryTableFieldId="31"/>
    <tableColumn id="32" xr3:uid="{F8C1A213-178F-4A23-BB81-DF7BA9AE6DD7}" uniqueName="32" name="YearsAtCompany" queryTableFieldId="32"/>
    <tableColumn id="33" xr3:uid="{73B731BF-C8C2-400A-994A-7B4EE9B5ADFD}" uniqueName="33" name="YearsInCurrentRole" queryTableFieldId="33"/>
    <tableColumn id="34" xr3:uid="{552B474B-28E5-4685-B931-470922CEC29C}" uniqueName="34" name="YearsSinceLastPromotion" queryTableFieldId="34"/>
    <tableColumn id="35" xr3:uid="{66B1EBFA-A50A-4569-B1BB-5FA5CCB0BE27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86BC-4527-4AFC-85A3-9788698D43B5}">
  <dimension ref="A3:H8"/>
  <sheetViews>
    <sheetView workbookViewId="0">
      <selection activeCell="H3" sqref="H3"/>
    </sheetView>
  </sheetViews>
  <sheetFormatPr defaultRowHeight="14.4" x14ac:dyDescent="0.3"/>
  <cols>
    <col min="1" max="1" width="24.33203125" bestFit="1" customWidth="1"/>
    <col min="2" max="2" width="15.5546875" bestFit="1" customWidth="1"/>
    <col min="3" max="3" width="4" bestFit="1" customWidth="1"/>
    <col min="4" max="4" width="10.77734375" bestFit="1" customWidth="1"/>
    <col min="8" max="8" width="10.5546875" bestFit="1" customWidth="1"/>
  </cols>
  <sheetData>
    <row r="3" spans="1:8" x14ac:dyDescent="0.3">
      <c r="A3" s="2" t="s">
        <v>64</v>
      </c>
      <c r="B3" s="2" t="s">
        <v>65</v>
      </c>
      <c r="E3" t="s">
        <v>66</v>
      </c>
      <c r="H3" s="5"/>
    </row>
    <row r="4" spans="1:8" x14ac:dyDescent="0.3">
      <c r="A4" s="2" t="s">
        <v>62</v>
      </c>
      <c r="B4" t="s">
        <v>43</v>
      </c>
      <c r="C4" t="s">
        <v>35</v>
      </c>
      <c r="D4" t="s">
        <v>63</v>
      </c>
    </row>
    <row r="5" spans="1:8" x14ac:dyDescent="0.3">
      <c r="A5" s="3" t="s">
        <v>61</v>
      </c>
      <c r="B5" s="1">
        <v>51</v>
      </c>
      <c r="C5" s="1">
        <v>12</v>
      </c>
      <c r="D5" s="1">
        <v>63</v>
      </c>
      <c r="F5" s="5">
        <f>C5/(C5+B5)*100</f>
        <v>19.047619047619047</v>
      </c>
    </row>
    <row r="6" spans="1:8" x14ac:dyDescent="0.3">
      <c r="A6" s="3" t="s">
        <v>45</v>
      </c>
      <c r="B6" s="1">
        <v>828</v>
      </c>
      <c r="C6" s="1">
        <v>133</v>
      </c>
      <c r="D6" s="1">
        <v>961</v>
      </c>
      <c r="F6" s="5">
        <f t="shared" ref="F6:F7" si="0">C6/(C6+B6)*100</f>
        <v>13.839750260145681</v>
      </c>
    </row>
    <row r="7" spans="1:8" x14ac:dyDescent="0.3">
      <c r="A7" s="3" t="s">
        <v>37</v>
      </c>
      <c r="B7" s="1">
        <v>354</v>
      </c>
      <c r="C7" s="1">
        <v>92</v>
      </c>
      <c r="D7" s="1">
        <v>446</v>
      </c>
      <c r="F7" s="5">
        <f t="shared" si="0"/>
        <v>20.627802690582961</v>
      </c>
    </row>
    <row r="8" spans="1:8" x14ac:dyDescent="0.3">
      <c r="A8" s="3" t="s">
        <v>63</v>
      </c>
      <c r="B8" s="1">
        <v>1233</v>
      </c>
      <c r="C8" s="1">
        <v>237</v>
      </c>
      <c r="D8" s="1">
        <v>1470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4B74-9889-40E0-AA3C-03F8A96FE9BF}">
  <dimension ref="A1:D16"/>
  <sheetViews>
    <sheetView tabSelected="1" topLeftCell="A9" zoomScale="160" zoomScaleNormal="160" workbookViewId="0">
      <selection activeCell="A13" sqref="A13:D16"/>
    </sheetView>
  </sheetViews>
  <sheetFormatPr defaultRowHeight="14.4" x14ac:dyDescent="0.3"/>
  <cols>
    <col min="1" max="1" width="24.5546875" customWidth="1"/>
    <col min="2" max="2" width="17.33203125" customWidth="1"/>
  </cols>
  <sheetData>
    <row r="1" spans="1:4" x14ac:dyDescent="0.3">
      <c r="A1" t="s">
        <v>69</v>
      </c>
      <c r="B1" t="s">
        <v>67</v>
      </c>
    </row>
    <row r="2" spans="1:4" x14ac:dyDescent="0.3">
      <c r="A2" t="s">
        <v>70</v>
      </c>
      <c r="B2">
        <f>COUNTIF(HR_Employee_Attrition[Attrition],"Yes")</f>
        <v>237</v>
      </c>
    </row>
    <row r="3" spans="1:4" x14ac:dyDescent="0.3">
      <c r="A3" t="s">
        <v>71</v>
      </c>
      <c r="B3">
        <f>COUNTIFS(HR_Employee_Attrition[Attrition],"Yes",HR_Employee_Attrition[Department],"Research &amp; Development")</f>
        <v>133</v>
      </c>
    </row>
    <row r="4" spans="1:4" x14ac:dyDescent="0.3">
      <c r="A4" t="s">
        <v>72</v>
      </c>
      <c r="B4">
        <f>COUNTIFS(HR_Employee_Attrition[Attrition],"Yes",HR_Employee_Attrition[Department],"Sales")</f>
        <v>92</v>
      </c>
    </row>
    <row r="5" spans="1:4" x14ac:dyDescent="0.3">
      <c r="A5" t="s">
        <v>73</v>
      </c>
      <c r="B5">
        <f>SUMIF(HR_Employee_Attrition[Department],"Research &amp; Development",HR_Employee_Attrition[MonthlyIncome])</f>
        <v>6036284</v>
      </c>
    </row>
    <row r="6" spans="1:4" x14ac:dyDescent="0.3">
      <c r="A6" t="s">
        <v>74</v>
      </c>
      <c r="B6">
        <f>AVERAGEIF(HR_Employee_Attrition[Department],"Research &amp; Development",HR_Employee_Attrition[MonthlyIncome])</f>
        <v>6281.2528616024974</v>
      </c>
    </row>
    <row r="7" spans="1:4" x14ac:dyDescent="0.3">
      <c r="A7" t="s">
        <v>75</v>
      </c>
      <c r="B7" t="str">
        <f>IF(HR_Employee_Attrition[[#This Row],[OverTime]]="Yes","Overtime","No Overtime")</f>
        <v>No Overtime</v>
      </c>
    </row>
    <row r="8" spans="1:4" x14ac:dyDescent="0.3">
      <c r="A8" t="s">
        <v>76</v>
      </c>
      <c r="B8" t="str">
        <f>IFERROR(10/0,"Error handled")</f>
        <v>Error handled</v>
      </c>
    </row>
    <row r="9" spans="1:4" x14ac:dyDescent="0.3">
      <c r="A9" t="s">
        <v>77</v>
      </c>
      <c r="B9">
        <f>COUNTIFS(HR_Employee_Attrition[Department],"Sales",HR_Employee_Attrition[OverTime],"No")</f>
        <v>318</v>
      </c>
    </row>
    <row r="10" spans="1:4" x14ac:dyDescent="0.3">
      <c r="A10" t="s">
        <v>78</v>
      </c>
      <c r="B10">
        <v>1001</v>
      </c>
    </row>
    <row r="11" spans="1:4" x14ac:dyDescent="0.3">
      <c r="A11" t="s">
        <v>79</v>
      </c>
      <c r="B11" t="str">
        <f>INDEX(HR_Employee_Attrition!$E$2:$E$1471,MATCH(B10,HR_Employee_Attrition!$J$2:$J$1471,0))</f>
        <v>Research &amp; Development</v>
      </c>
    </row>
    <row r="12" spans="1:4" x14ac:dyDescent="0.3">
      <c r="A12" s="6"/>
    </row>
    <row r="13" spans="1:4" x14ac:dyDescent="0.3">
      <c r="A13" t="s">
        <v>83</v>
      </c>
      <c r="B13" t="s">
        <v>80</v>
      </c>
      <c r="C13" t="s">
        <v>68</v>
      </c>
      <c r="D13" t="s">
        <v>81</v>
      </c>
    </row>
    <row r="14" spans="1:4" x14ac:dyDescent="0.3">
      <c r="A14" t="s">
        <v>61</v>
      </c>
      <c r="B14">
        <f>COUNTIF(HR_Employee_Attrition[Department],A14)</f>
        <v>63</v>
      </c>
      <c r="C14">
        <f>COUNTIFS(HR_Employee_Attrition[Department],A14,HR_Employee_Attrition[Attrition],"Yes")</f>
        <v>12</v>
      </c>
      <c r="D14" s="4">
        <f>IFERROR(C14/B14,0)</f>
        <v>0.19047619047619047</v>
      </c>
    </row>
    <row r="15" spans="1:4" x14ac:dyDescent="0.3">
      <c r="A15" t="s">
        <v>82</v>
      </c>
      <c r="B15">
        <f>COUNTIF(HR_Employee_Attrition[Department],"Research &amp; Development")</f>
        <v>961</v>
      </c>
      <c r="C15">
        <f>COUNTIFS(HR_Employee_Attrition[Department],"Research &amp; Development",HR_Employee_Attrition[Attrition],"Yes")</f>
        <v>133</v>
      </c>
      <c r="D15" s="4">
        <f t="shared" ref="D15:D16" si="0">IFERROR(C15/B15,0)</f>
        <v>0.13839750260145681</v>
      </c>
    </row>
    <row r="16" spans="1:4" x14ac:dyDescent="0.3">
      <c r="A16" t="s">
        <v>37</v>
      </c>
      <c r="B16">
        <f>COUNTIF(HR_Employee_Attrition[Department],A16)</f>
        <v>446</v>
      </c>
      <c r="C16">
        <f>COUNTIFS(HR_Employee_Attrition[Department],A16,HR_Employee_Attrition[Attrition],"Yes")</f>
        <v>92</v>
      </c>
      <c r="D16" s="4">
        <f t="shared" si="0"/>
        <v>0.20627802690582961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CC4D-60A2-44DC-80A0-3ADD0C959F99}">
  <dimension ref="A1:AI1471"/>
  <sheetViews>
    <sheetView topLeftCell="C1006" zoomScale="75" zoomScaleNormal="75" workbookViewId="0">
      <selection activeCell="E1001" sqref="E1001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23.6640625" bestFit="1" customWidth="1"/>
    <col min="22" max="22" width="9.21875" bestFit="1" customWidth="1"/>
    <col min="23" max="23" width="11.33203125" bestFit="1" customWidth="1"/>
    <col min="24" max="24" width="18.5546875" bestFit="1" customWidth="1"/>
    <col min="25" max="25" width="19.6640625" bestFit="1" customWidth="1"/>
    <col min="26" max="26" width="23.6640625" bestFit="1" customWidth="1"/>
    <col min="27" max="27" width="15.88671875" bestFit="1" customWidth="1"/>
    <col min="28" max="28" width="18.109375" bestFit="1" customWidth="1"/>
    <col min="29" max="29" width="19.109375" bestFit="1" customWidth="1"/>
    <col min="30" max="30" width="22.109375" bestFit="1" customWidth="1"/>
    <col min="31" max="31" width="17.44140625" bestFit="1" customWidth="1"/>
    <col min="32" max="32" width="17.77734375" bestFit="1" customWidth="1"/>
    <col min="33" max="33" width="19.5546875" bestFit="1" customWidth="1"/>
    <col min="34" max="34" width="24.77734375" bestFit="1" customWidth="1"/>
    <col min="35" max="35" width="23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1F5E-C251-4145-9320-0EDD6FCE0A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6995A1-9F85-460A-BC31-43A8630DE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Formula_Practice</vt:lpstr>
      <vt:lpstr>HR_Employee_Attrition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Bhadran Jha</dc:creator>
  <cp:lastModifiedBy>Bhadran Jha</cp:lastModifiedBy>
  <dcterms:created xsi:type="dcterms:W3CDTF">2026-10-18T10:42:22Z</dcterms:created>
  <dcterms:modified xsi:type="dcterms:W3CDTF">2026-10-18T13:08:38Z</dcterms:modified>
</cp:coreProperties>
</file>